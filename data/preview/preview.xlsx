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5" fillId="0" borderId="0" pivotButton="0" quotePrefix="0" xfId="0"/>
    <xf numFmtId="0" fontId="1" fillId="2" borderId="10" pivotButton="0" quotePrefix="0" xfId="0"/>
    <xf numFmtId="0" fontId="3" fillId="0" borderId="5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6" pivotButton="0" quotePrefix="0" xfId="0"/>
    <xf numFmtId="0" fontId="3" fillId="0" borderId="8" pivotButton="0" quotePrefix="0" xfId="0"/>
    <xf numFmtId="0" fontId="3" fillId="0" borderId="11" pivotButton="0" quotePrefix="0" xfId="0"/>
    <xf numFmtId="3" fontId="3" fillId="0" borderId="11" pivotButton="0" quotePrefix="0" xfId="0"/>
    <xf numFmtId="3" fontId="3" fillId="0" borderId="14" pivotButton="0" quotePrefix="0" xfId="0"/>
    <xf numFmtId="9" fontId="0" fillId="0" borderId="6" pivotButton="0" quotePrefix="0" xfId="0"/>
    <xf numFmtId="9" fontId="3" fillId="0" borderId="14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6" pivotButton="0" quotePrefix="0" xfId="0"/>
    <xf numFmtId="164" fontId="0" fillId="0" borderId="14" pivotButton="0" quotePrefix="0" xfId="0"/>
    <xf numFmtId="164" fontId="3" fillId="0" borderId="14" pivotButton="0" quotePrefix="0" xfId="0"/>
    <xf numFmtId="164" fontId="0" fillId="0" borderId="0" pivotButton="0" quotePrefix="0" xfId="0"/>
    <xf numFmtId="164" fontId="3" fillId="0" borderId="12" pivotButton="0" quotePrefix="0" xfId="0"/>
    <xf numFmtId="0" fontId="3" fillId="0" borderId="15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</v>
      </c>
      <c r="D7" s="20" t="n">
        <v>849544</v>
      </c>
      <c r="E7" s="20" t="n">
        <v>295086</v>
      </c>
      <c r="F7" s="20" t="n">
        <v>30275</v>
      </c>
      <c r="G7" s="21" t="n">
        <v>1174907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Repo URLs</t>
        </is>
      </c>
      <c r="C20" s="17" t="inlineStr">
        <is>
          <t>A</t>
        </is>
      </c>
      <c r="D20" s="17" t="inlineStr">
        <is>
          <t>B</t>
        </is>
      </c>
      <c r="E20" s="17" t="inlineStr">
        <is>
          <t>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39" t="inlineStr">
        <is>
          <t>Score distribution by component (scope 940)</t>
        </is>
      </c>
    </row>
    <row r="37">
      <c r="B37" s="16" t="inlineStr">
        <is>
          <t>Component / subcomponent</t>
        </is>
      </c>
      <c r="C37" s="40" t="inlineStr">
        <is>
          <t>Column</t>
        </is>
      </c>
      <c r="D37" s="17" t="inlineStr">
        <is>
          <t>Min</t>
        </is>
      </c>
      <c r="E37" s="17" t="inlineStr">
        <is>
          <t>P25</t>
        </is>
      </c>
      <c r="F37" s="17" t="inlineStr">
        <is>
          <t>P50</t>
        </is>
      </c>
      <c r="G37" s="17" t="inlineStr">
        <is>
          <t>P75</t>
        </is>
      </c>
      <c r="H37" s="18" t="inlineStr">
        <is>
          <t>Max</t>
        </is>
      </c>
    </row>
    <row r="38">
      <c r="B38" s="41" t="inlineStr">
        <is>
          <t>Concentration</t>
        </is>
      </c>
      <c r="C38" s="42" t="inlineStr">
        <is>
          <t>score</t>
        </is>
      </c>
      <c r="D38" s="43" t="n">
        <v>1</v>
      </c>
      <c r="E38" s="43" t="n">
        <v>41</v>
      </c>
      <c r="F38" s="43" t="n">
        <v>75</v>
      </c>
      <c r="G38" s="43" t="n">
        <v>95</v>
      </c>
      <c r="H38" s="44" t="n">
        <v>100</v>
      </c>
    </row>
    <row r="39">
      <c r="B39" s="19" t="inlineStr">
        <is>
          <t>· bus factor</t>
        </is>
      </c>
      <c r="C39" t="inlineStr">
        <is>
          <t>bf_commits_git_5y</t>
        </is>
      </c>
      <c r="D39" s="20" t="n">
        <v>1</v>
      </c>
      <c r="E39" s="20" t="n">
        <v>1</v>
      </c>
      <c r="F39" s="20" t="n">
        <v>1</v>
      </c>
      <c r="G39" s="20" t="n">
        <v>2</v>
      </c>
      <c r="H39" s="21" t="n">
        <v>280</v>
      </c>
    </row>
    <row r="40">
      <c r="B40" s="19" t="inlineStr">
        <is>
          <t>· HHI</t>
        </is>
      </c>
      <c r="C40" t="inlineStr">
        <is>
          <t>hhi_commits_git_5y</t>
        </is>
      </c>
      <c r="D40" s="20" t="n">
        <v>19</v>
      </c>
      <c r="E40" s="20" t="n">
        <v>3060</v>
      </c>
      <c r="F40" s="20" t="n">
        <v>5556</v>
      </c>
      <c r="G40" s="20" t="n">
        <v>8987</v>
      </c>
      <c r="H40" s="21" t="n">
        <v>10000</v>
      </c>
    </row>
    <row r="41">
      <c r="B41" s="41" t="inlineStr">
        <is>
          <t>Complexity</t>
        </is>
      </c>
      <c r="C41" s="42" t="inlineStr">
        <is>
          <t>score</t>
        </is>
      </c>
      <c r="D41" s="43" t="n">
        <v>1</v>
      </c>
      <c r="E41" s="43" t="n">
        <v>26</v>
      </c>
      <c r="F41" s="43" t="n">
        <v>49</v>
      </c>
      <c r="G41" s="43" t="n">
        <v>73</v>
      </c>
      <c r="H41" s="44" t="n">
        <v>100</v>
      </c>
    </row>
    <row r="42">
      <c r="B42" s="19" t="inlineStr">
        <is>
          <t>· lines of code</t>
        </is>
      </c>
      <c r="C42" t="inlineStr">
        <is>
          <t>loc_eoy</t>
        </is>
      </c>
      <c r="D42" s="20" t="n">
        <v>0</v>
      </c>
      <c r="E42" s="20" t="n">
        <v>365</v>
      </c>
      <c r="F42" s="20" t="n">
        <v>2704</v>
      </c>
      <c r="G42" s="20" t="n">
        <v>21612</v>
      </c>
      <c r="H42" s="21" t="n">
        <v>36990782</v>
      </c>
    </row>
    <row r="43">
      <c r="B43" s="19" t="inlineStr">
        <is>
          <t>· cyclomatic max</t>
        </is>
      </c>
      <c r="C43" t="inlineStr">
        <is>
          <t>cyclomatic_max</t>
        </is>
      </c>
      <c r="D43" s="20" t="n">
        <v>0</v>
      </c>
      <c r="E43" s="20" t="n">
        <v>7</v>
      </c>
      <c r="F43" s="20" t="n">
        <v>18</v>
      </c>
      <c r="G43" s="20" t="n">
        <v>48</v>
      </c>
      <c r="H43" s="21" t="n">
        <v>12556</v>
      </c>
    </row>
    <row r="44">
      <c r="B44" s="41" t="inlineStr">
        <is>
          <t>Security</t>
        </is>
      </c>
      <c r="C44" s="42" t="inlineStr">
        <is>
          <t>score</t>
        </is>
      </c>
      <c r="D44" s="43" t="n">
        <v>50</v>
      </c>
      <c r="E44" s="43" t="n">
        <v>50</v>
      </c>
      <c r="F44" s="43" t="n">
        <v>72</v>
      </c>
      <c r="G44" s="43" t="n">
        <v>84</v>
      </c>
      <c r="H44" s="44" t="n">
        <v>100</v>
      </c>
    </row>
    <row r="45">
      <c r="B45" s="19" t="inlineStr">
        <is>
          <t>· OpenSSF score (0–10)</t>
        </is>
      </c>
      <c r="C45" t="inlineStr">
        <is>
          <t>openssf_score</t>
        </is>
      </c>
      <c r="D45" s="30" t="n">
        <v>1.8</v>
      </c>
      <c r="E45" s="30" t="n">
        <v>3.8</v>
      </c>
      <c r="F45" s="30" t="n">
        <v>4.4</v>
      </c>
      <c r="G45" s="30" t="n">
        <v>6.1</v>
      </c>
      <c r="H45" s="29" t="n">
        <v>9.6</v>
      </c>
    </row>
    <row r="46">
      <c r="B46" s="19" t="inlineStr">
        <is>
          <t>· CVE count 5y</t>
        </is>
      </c>
      <c r="C46" t="inlineStr">
        <is>
          <t>cve_count_5y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1" t="n">
        <v>10602</v>
      </c>
    </row>
    <row r="47">
      <c r="B47" s="41" t="inlineStr">
        <is>
          <t>Workload</t>
        </is>
      </c>
      <c r="C47" s="42" t="inlineStr">
        <is>
          <t>score</t>
        </is>
      </c>
      <c r="D47" s="43" t="n">
        <v>2</v>
      </c>
      <c r="E47" s="43" t="n">
        <v>38</v>
      </c>
      <c r="F47" s="43" t="n">
        <v>56</v>
      </c>
      <c r="G47" s="43" t="n">
        <v>70</v>
      </c>
      <c r="H47" s="44" t="n">
        <v>97</v>
      </c>
    </row>
    <row r="48">
      <c r="B48" s="19" t="inlineStr">
        <is>
          <t>· LOC / contributor</t>
        </is>
      </c>
      <c r="C48" t="inlineStr">
        <is>
          <t>loc_per_ac</t>
        </is>
      </c>
      <c r="D48" s="20" t="n">
        <v>0</v>
      </c>
      <c r="E48" s="20" t="n">
        <v>107</v>
      </c>
      <c r="F48" s="20" t="n">
        <v>302</v>
      </c>
      <c r="G48" s="20" t="n">
        <v>804</v>
      </c>
      <c r="H48" s="21" t="n">
        <v>353301</v>
      </c>
    </row>
    <row r="49">
      <c r="B49" s="19" t="inlineStr">
        <is>
          <t>· CVE / contributor</t>
        </is>
      </c>
      <c r="C49" t="inlineStr">
        <is>
          <t>cve_per_ac</t>
        </is>
      </c>
      <c r="D49" s="30" t="n">
        <v>0</v>
      </c>
      <c r="E49" s="30" t="n">
        <v>0</v>
      </c>
      <c r="F49" s="30" t="n">
        <v>0</v>
      </c>
      <c r="G49" s="30" t="n">
        <v>0</v>
      </c>
      <c r="H49" s="29" t="n">
        <v>14</v>
      </c>
    </row>
    <row r="50">
      <c r="B50" s="19" t="inlineStr">
        <is>
          <t>· net-new-issues / contributor</t>
        </is>
      </c>
      <c r="C50" t="inlineStr">
        <is>
          <t>nni_per_ac</t>
        </is>
      </c>
      <c r="D50" s="30" t="n">
        <v>-9.93</v>
      </c>
      <c r="E50" s="30" t="n">
        <v>0</v>
      </c>
      <c r="F50" s="30" t="n">
        <v>0.29</v>
      </c>
      <c r="G50" s="30" t="n">
        <v>1</v>
      </c>
      <c r="H50" s="29" t="n">
        <v>315</v>
      </c>
    </row>
    <row r="51">
      <c r="B51" s="45" t="inlineStr">
        <is>
          <t>Overall</t>
        </is>
      </c>
      <c r="C51" s="46" t="inlineStr">
        <is>
          <t>risk_score</t>
        </is>
      </c>
      <c r="D51" s="47" t="n">
        <v>11</v>
      </c>
      <c r="E51" s="47" t="n">
        <v>44</v>
      </c>
      <c r="F51" s="47" t="n">
        <v>54</v>
      </c>
      <c r="G51" s="47" t="n">
        <v>65</v>
      </c>
      <c r="H51" s="48" t="n">
        <v>94</v>
      </c>
    </row>
    <row r="54">
      <c r="B54" s="39" t="inlineStr">
        <is>
          <t>Concentration funnel</t>
        </is>
      </c>
    </row>
    <row r="55">
      <c r="B55" s="16" t="inlineStr">
        <is>
          <t>Step</t>
        </is>
      </c>
      <c r="C55" s="17" t="inlineStr">
        <is>
          <t>Repos</t>
        </is>
      </c>
      <c r="D55" s="18" t="inlineStr">
        <is>
          <t>%</t>
        </is>
      </c>
    </row>
    <row r="56">
      <c r="B56" s="19" t="inlineStr">
        <is>
          <t>input top repos</t>
        </is>
      </c>
      <c r="C56" s="20" t="n">
        <v>940</v>
      </c>
      <c r="D56" s="49" t="n">
        <v>1</v>
      </c>
    </row>
    <row r="57">
      <c r="B57" s="19" t="inlineStr">
        <is>
          <t>bus factor / HHI (git 5y) computed</t>
        </is>
      </c>
      <c r="C57" s="20" t="n">
        <v>940</v>
      </c>
      <c r="D57" s="49" t="n">
        <v>1</v>
      </c>
    </row>
    <row r="58">
      <c r="B58" s="19" t="inlineStr">
        <is>
          <t>bus factor / HHI (GitHub) computed</t>
        </is>
      </c>
      <c r="C58" s="20" t="n">
        <v>902</v>
      </c>
      <c r="D58" s="32" t="n">
        <v>0.96</v>
      </c>
    </row>
    <row r="59">
      <c r="B59" s="45" t="inlineStr">
        <is>
          <t>Concentration score</t>
        </is>
      </c>
      <c r="C59" s="47" t="n">
        <v>940</v>
      </c>
      <c r="D59" s="50" t="n">
        <v>1</v>
      </c>
    </row>
    <row r="62">
      <c r="B62" s="39" t="inlineStr">
        <is>
          <t>Complexity funnel</t>
        </is>
      </c>
    </row>
    <row r="63">
      <c r="B63" s="16" t="inlineStr">
        <is>
          <t>Step</t>
        </is>
      </c>
      <c r="C63" s="17" t="inlineStr">
        <is>
          <t>Repos</t>
        </is>
      </c>
      <c r="D63" s="18" t="inlineStr">
        <is>
          <t>%</t>
        </is>
      </c>
    </row>
    <row r="64">
      <c r="B64" s="19" t="inlineStr">
        <is>
          <t>input top repos</t>
        </is>
      </c>
      <c r="C64" s="20" t="n">
        <v>940</v>
      </c>
      <c r="D64" s="49" t="n">
        <v>1</v>
      </c>
    </row>
    <row r="65">
      <c r="B65" s="19" t="inlineStr">
        <is>
          <t>lines of code (scc)</t>
        </is>
      </c>
      <c r="C65" s="20" t="n">
        <v>940</v>
      </c>
      <c r="D65" s="49" t="n">
        <v>1</v>
      </c>
    </row>
    <row r="66">
      <c r="B66" s="19" t="inlineStr">
        <is>
          <t>cyclomatic max (lizard)</t>
        </is>
      </c>
      <c r="C66" s="20" t="n">
        <v>940</v>
      </c>
      <c r="D66" s="49" t="n">
        <v>1</v>
      </c>
    </row>
    <row r="67">
      <c r="B67" s="19" t="inlineStr">
        <is>
          <t>cognitive max (lizard)</t>
        </is>
      </c>
      <c r="C67" s="20" t="n">
        <v>940</v>
      </c>
      <c r="D67" s="49" t="n">
        <v>1</v>
      </c>
    </row>
    <row r="68">
      <c r="B68" s="19" t="inlineStr">
        <is>
          <t>churn 5y</t>
        </is>
      </c>
      <c r="C68" s="20" t="n">
        <v>882</v>
      </c>
      <c r="D68" s="32" t="n">
        <v>0.9379999999999999</v>
      </c>
    </row>
    <row r="69">
      <c r="B69" s="45" t="inlineStr">
        <is>
          <t>Complexity score</t>
        </is>
      </c>
      <c r="C69" s="47" t="n">
        <v>940</v>
      </c>
      <c r="D69" s="50" t="n">
        <v>1</v>
      </c>
    </row>
    <row r="72">
      <c r="B72" s="39" t="inlineStr">
        <is>
          <t>Security funnel</t>
        </is>
      </c>
    </row>
    <row r="73">
      <c r="B73" s="16" t="inlineStr">
        <is>
          <t>Step</t>
        </is>
      </c>
      <c r="C73" s="17" t="inlineStr">
        <is>
          <t>Repos</t>
        </is>
      </c>
      <c r="D73" s="18" t="inlineStr">
        <is>
          <t>%</t>
        </is>
      </c>
    </row>
    <row r="74">
      <c r="B74" s="19" t="inlineStr">
        <is>
          <t>input top repos</t>
        </is>
      </c>
      <c r="C74" s="20" t="n">
        <v>940</v>
      </c>
      <c r="D74" s="49" t="n">
        <v>1</v>
      </c>
    </row>
    <row r="75">
      <c r="B75" s="19" t="inlineStr">
        <is>
          <t>OpenSSF score present</t>
        </is>
      </c>
      <c r="C75" s="20" t="n">
        <v>940</v>
      </c>
      <c r="D75" s="49" t="n">
        <v>1</v>
      </c>
    </row>
    <row r="76">
      <c r="B76" s="19" t="inlineStr">
        <is>
          <t>CVE count 5y &gt; 0</t>
        </is>
      </c>
      <c r="C76" s="20" t="n">
        <v>208</v>
      </c>
      <c r="D76" s="32" t="n">
        <v>0.221</v>
      </c>
    </row>
    <row r="77">
      <c r="B77" s="19" t="inlineStr">
        <is>
          <t>OSS-Fuzz enrolled</t>
        </is>
      </c>
      <c r="C77" s="20" t="n">
        <v>135</v>
      </c>
      <c r="D77" s="32" t="n">
        <v>0.144</v>
      </c>
    </row>
    <row r="78">
      <c r="B78" s="19" t="inlineStr">
        <is>
          <t>CII Best Practices badge</t>
        </is>
      </c>
      <c r="C78" s="20" t="n">
        <v>31</v>
      </c>
      <c r="D78" s="32" t="n">
        <v>0.033</v>
      </c>
    </row>
    <row r="79">
      <c r="B79" s="45" t="inlineStr">
        <is>
          <t>Security score</t>
        </is>
      </c>
      <c r="C79" s="47" t="n">
        <v>940</v>
      </c>
      <c r="D79" s="50" t="n">
        <v>1</v>
      </c>
    </row>
    <row r="82">
      <c r="B82" s="39" t="inlineStr">
        <is>
          <t>Workload funnel</t>
        </is>
      </c>
    </row>
    <row r="83">
      <c r="B83" s="16" t="inlineStr">
        <is>
          <t>Step</t>
        </is>
      </c>
      <c r="C83" s="17" t="inlineStr">
        <is>
          <t>Repos</t>
        </is>
      </c>
      <c r="D83" s="18" t="inlineStr">
        <is>
          <t>%</t>
        </is>
      </c>
    </row>
    <row r="84">
      <c r="B84" s="19" t="inlineStr">
        <is>
          <t>input top repos</t>
        </is>
      </c>
      <c r="C84" s="20" t="n">
        <v>940</v>
      </c>
      <c r="D84" s="49" t="n">
        <v>1</v>
      </c>
    </row>
    <row r="85">
      <c r="B85" s="19" t="inlineStr">
        <is>
          <t>issues data present</t>
        </is>
      </c>
      <c r="C85" s="20" t="n">
        <v>940</v>
      </c>
      <c r="D85" s="49" t="n">
        <v>1</v>
      </c>
    </row>
    <row r="86">
      <c r="B86" s="19" t="inlineStr">
        <is>
          <t>per-AC ratios (loc/cve/nni) computed</t>
        </is>
      </c>
      <c r="C86" s="20" t="n">
        <v>940</v>
      </c>
      <c r="D86" s="49" t="n">
        <v>1</v>
      </c>
    </row>
    <row r="87">
      <c r="B87" s="19" t="inlineStr">
        <is>
          <t>issue_close_ratio computed</t>
        </is>
      </c>
      <c r="C87" s="20" t="n">
        <v>847</v>
      </c>
      <c r="D87" s="32" t="n">
        <v>0.9009999999999999</v>
      </c>
    </row>
    <row r="88">
      <c r="B88" s="19" t="inlineStr">
        <is>
          <t>issue_trend_score computed</t>
        </is>
      </c>
      <c r="C88" s="20" t="n">
        <v>642</v>
      </c>
      <c r="D88" s="32" t="n">
        <v>0.6829999999999999</v>
      </c>
    </row>
    <row r="89">
      <c r="B89" s="45" t="inlineStr">
        <is>
          <t>Workload score</t>
        </is>
      </c>
      <c r="C89" s="47" t="n">
        <v>940</v>
      </c>
      <c r="D89" s="50" t="n">
        <v>1</v>
      </c>
    </row>
    <row r="92">
      <c r="A92" s="51" t="n"/>
      <c r="B92" s="52" t="inlineStr">
        <is>
          <t>Stage 3: Eligibility</t>
        </is>
      </c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</row>
    <row r="95">
      <c r="B95" s="39" t="inlineStr">
        <is>
          <t>Licenses (scope 940)</t>
        </is>
      </c>
    </row>
    <row r="96">
      <c r="B96" s="16" t="inlineStr">
        <is>
          <t>Step</t>
        </is>
      </c>
      <c r="C96" s="17" t="inlineStr">
        <is>
          <t>Repos</t>
        </is>
      </c>
      <c r="D96" s="18" t="inlineStr">
        <is>
          <t>%</t>
        </is>
      </c>
    </row>
    <row r="97">
      <c r="B97" s="19" t="inlineStr">
        <is>
          <t>input top repos (incl. archived)</t>
        </is>
      </c>
      <c r="C97" s="20" t="n">
        <v>940</v>
      </c>
      <c r="D97" s="49" t="n">
        <v>1</v>
      </c>
    </row>
    <row r="98">
      <c r="B98" s="19" t="inlineStr">
        <is>
          <t>license resolved</t>
        </is>
      </c>
      <c r="C98" s="20" t="n">
        <v>940</v>
      </c>
      <c r="D98" s="49" t="n">
        <v>1</v>
      </c>
    </row>
    <row r="99">
      <c r="B99" s="19" t="inlineStr">
        <is>
          <t>· from override</t>
        </is>
      </c>
      <c r="C99" s="20" t="n">
        <v>23</v>
      </c>
      <c r="D99" s="32" t="n">
        <v>0.024</v>
      </c>
    </row>
    <row r="100">
      <c r="B100" s="19" t="inlineStr">
        <is>
          <t>· from registry</t>
        </is>
      </c>
      <c r="C100" s="20" t="n">
        <v>893</v>
      </c>
      <c r="D100" s="32" t="n">
        <v>0.95</v>
      </c>
    </row>
    <row r="101">
      <c r="B101" s="19" t="inlineStr">
        <is>
          <t>· from GitHub</t>
        </is>
      </c>
      <c r="C101" s="20" t="n">
        <v>9</v>
      </c>
      <c r="D101" s="32" t="n">
        <v>0.01</v>
      </c>
    </row>
    <row r="102">
      <c r="B102" s="19" t="inlineStr">
        <is>
          <t>· from GitLab</t>
        </is>
      </c>
      <c r="C102" s="20" t="n">
        <v>15</v>
      </c>
      <c r="D102" s="32" t="n">
        <v>0.016</v>
      </c>
    </row>
    <row r="103">
      <c r="B103" s="41" t="inlineStr">
        <is>
          <t>oss=True (OSS-approved)</t>
        </is>
      </c>
      <c r="C103" s="43" t="n">
        <v>936</v>
      </c>
      <c r="D103" s="53" t="n">
        <v>0.996</v>
      </c>
    </row>
    <row r="104">
      <c r="B104" s="19" t="inlineStr">
        <is>
          <t>oss=False (known non-OSS)</t>
        </is>
      </c>
      <c r="C104" s="20" t="n">
        <v>4</v>
      </c>
      <c r="D104" s="32" t="n">
        <v>0.004</v>
      </c>
    </row>
    <row r="105">
      <c r="B105" s="23" t="inlineStr">
        <is>
          <t>oss unknown (no signal)</t>
        </is>
      </c>
      <c r="C105" s="24" t="n">
        <v>0</v>
      </c>
      <c r="D105" s="54" t="n">
        <v>0</v>
      </c>
    </row>
    <row r="108">
      <c r="B108" s="39" t="inlineStr">
        <is>
          <t>Activity</t>
        </is>
      </c>
    </row>
    <row r="109">
      <c r="B109" s="16" t="inlineStr">
        <is>
          <t>Category</t>
        </is>
      </c>
      <c r="C109" s="17" t="inlineStr">
        <is>
          <t>Repos</t>
        </is>
      </c>
      <c r="D109" s="18" t="inlineStr">
        <is>
          <t>%</t>
        </is>
      </c>
    </row>
    <row r="110">
      <c r="B110" s="19" t="inlineStr">
        <is>
          <t>eol (override)</t>
        </is>
      </c>
      <c r="C110" s="20" t="n">
        <v>0</v>
      </c>
      <c r="D110" s="32" t="n">
        <v>0</v>
      </c>
    </row>
    <row r="111">
      <c r="B111" s="19" t="inlineStr">
        <is>
          <t>archived</t>
        </is>
      </c>
      <c r="C111" s="20" t="n">
        <v>24</v>
      </c>
      <c r="D111" s="32" t="n">
        <v>0.026</v>
      </c>
    </row>
    <row r="112">
      <c r="B112" s="19" t="inlineStr">
        <is>
          <t>archived but mirror-exempt</t>
        </is>
      </c>
      <c r="C112" s="20" t="n">
        <v>2</v>
      </c>
      <c r="D112" s="32" t="n">
        <v>0.002</v>
      </c>
    </row>
    <row r="113">
      <c r="B113" s="45" t="inlineStr">
        <is>
          <t>active</t>
        </is>
      </c>
      <c r="C113" s="47" t="n">
        <v>918</v>
      </c>
      <c r="D113" s="55" t="n">
        <v>0.977</v>
      </c>
    </row>
    <row r="116">
      <c r="B116" s="39" t="inlineStr">
        <is>
          <t>Intent and nonprofit</t>
        </is>
      </c>
    </row>
    <row r="117">
      <c r="B117" s="16" t="inlineStr">
        <is>
          <t>Category</t>
        </is>
      </c>
      <c r="C117" s="17" t="inlineStr">
        <is>
          <t>Repos</t>
        </is>
      </c>
      <c r="D117" s="18" t="inlineStr">
        <is>
          <t>%</t>
        </is>
      </c>
    </row>
    <row r="118">
      <c r="B118" s="19" t="inlineStr">
        <is>
          <t>intent — any funding signal</t>
        </is>
      </c>
      <c r="C118" s="20" t="n">
        <v>736</v>
      </c>
      <c r="D118" s="32" t="n">
        <v>0.7829999999999999</v>
      </c>
    </row>
    <row r="119">
      <c r="B119" s="19" t="inlineStr">
        <is>
          <t>intent — no funding signal</t>
        </is>
      </c>
      <c r="C119" s="20" t="n">
        <v>204</v>
      </c>
      <c r="D119" s="32" t="n">
        <v>0.217</v>
      </c>
    </row>
    <row r="120">
      <c r="B120" s="33" t="inlineStr">
        <is>
          <t>nonprofit — community / independent</t>
        </is>
      </c>
      <c r="C120" s="34" t="n">
        <v>880</v>
      </c>
      <c r="D120" s="35" t="n">
        <v>0.9359999999999999</v>
      </c>
    </row>
    <row r="121">
      <c r="B121" s="23" t="inlineStr">
        <is>
          <t>nonprofit — company-backed</t>
        </is>
      </c>
      <c r="C121" s="24" t="n">
        <v>60</v>
      </c>
      <c r="D121" s="54" t="n">
        <v>0.064</v>
      </c>
    </row>
    <row r="124">
      <c r="B124" s="39" t="inlineStr">
        <is>
          <t>Eligibility rollup</t>
        </is>
      </c>
    </row>
    <row r="125">
      <c r="B125" s="16" t="inlineStr">
        <is>
          <t>Check</t>
        </is>
      </c>
      <c r="C125" s="17" t="inlineStr">
        <is>
          <t>True</t>
        </is>
      </c>
      <c r="D125" s="17" t="inlineStr">
        <is>
          <t>%</t>
        </is>
      </c>
      <c r="E125" s="18" t="inlineStr">
        <is>
          <t>sole blocker</t>
        </is>
      </c>
    </row>
    <row r="126">
      <c r="B126" s="19" t="inlineStr">
        <is>
          <t>oss</t>
        </is>
      </c>
      <c r="C126" s="20" t="n">
        <v>936</v>
      </c>
      <c r="D126" s="56" t="n">
        <v>0.996</v>
      </c>
      <c r="E126" s="21" t="n">
        <v>1</v>
      </c>
    </row>
    <row r="127">
      <c r="B127" s="19" t="inlineStr">
        <is>
          <t>intent</t>
        </is>
      </c>
      <c r="C127" s="20" t="n">
        <v>736</v>
      </c>
      <c r="D127" s="56" t="n">
        <v>0.7829999999999999</v>
      </c>
      <c r="E127" s="21" t="n">
        <v>190</v>
      </c>
    </row>
    <row r="128">
      <c r="B128" s="19" t="inlineStr">
        <is>
          <t>nonprofit</t>
        </is>
      </c>
      <c r="C128" s="20" t="n">
        <v>880</v>
      </c>
      <c r="D128" s="56" t="n">
        <v>0.9359999999999999</v>
      </c>
      <c r="E128" s="21" t="n">
        <v>59</v>
      </c>
    </row>
    <row r="129">
      <c r="B129" s="19" t="inlineStr">
        <is>
          <t>active</t>
        </is>
      </c>
      <c r="C129" s="20" t="n">
        <v>918</v>
      </c>
      <c r="D129" s="56" t="n">
        <v>0.977</v>
      </c>
      <c r="E129" s="21" t="n">
        <v>10</v>
      </c>
    </row>
    <row r="130">
      <c r="B130" s="26" t="inlineStr">
        <is>
          <t>eligible</t>
        </is>
      </c>
      <c r="C130" s="27" t="n">
        <v>665</v>
      </c>
      <c r="D130" s="57" t="n">
        <v>0.7070000000000001</v>
      </c>
      <c r="E130" s="5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2026-07-12T16:29:19Z</dcterms:created>
  <dcterms:modified xsi:type="dcterms:W3CDTF">2026-07-12T16:29:21Z</dcterms:modified>
</cp:coreProperties>
</file>